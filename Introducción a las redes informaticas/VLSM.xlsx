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potencias" sheetId="1" r:id="rId4"/>
    <sheet state="visible" name="VLSM 1" sheetId="2" r:id="rId5"/>
    <sheet state="visible" name="VLSM 2" sheetId="3" r:id="rId6"/>
    <sheet state="visible" name="VLSM 3" sheetId="4" r:id="rId7"/>
    <sheet state="visible" name="VLSM 4" sheetId="5" r:id="rId8"/>
  </sheets>
  <definedNames/>
  <calcPr/>
</workbook>
</file>

<file path=xl/sharedStrings.xml><?xml version="1.0" encoding="utf-8"?>
<sst xmlns="http://schemas.openxmlformats.org/spreadsheetml/2006/main" count="281" uniqueCount="92">
  <si>
    <t>IP 170.50.192.0/18</t>
  </si>
  <si>
    <t>Numero de hosts</t>
  </si>
  <si>
    <t>200 Hosts</t>
  </si>
  <si>
    <t>número de host</t>
  </si>
  <si>
    <t>mascara de red</t>
  </si>
  <si>
    <t>IP 170.50.192.0/24</t>
  </si>
  <si>
    <t>1ra</t>
  </si>
  <si>
    <t>170.50.192.1</t>
  </si>
  <si>
    <t>Ultima</t>
  </si>
  <si>
    <t>170.50.192.254</t>
  </si>
  <si>
    <t>Broadcast</t>
  </si>
  <si>
    <t>170.50.192.255</t>
  </si>
  <si>
    <t>150 Hosts</t>
  </si>
  <si>
    <t>IP 170.50.193.0/24</t>
  </si>
  <si>
    <t>170.50.193.1</t>
  </si>
  <si>
    <t>170.50.193.254</t>
  </si>
  <si>
    <t>170.50.193.255</t>
  </si>
  <si>
    <t>90 Hosts</t>
  </si>
  <si>
    <t>IP 170.50.194.0/25</t>
  </si>
  <si>
    <t>170.50.194.1</t>
  </si>
  <si>
    <t>170.50.194.126</t>
  </si>
  <si>
    <t>170.50.193.127</t>
  </si>
  <si>
    <t>70 Hosts</t>
  </si>
  <si>
    <t>calcular numero de redes</t>
  </si>
  <si>
    <t>IP 170.50.194.128/25</t>
  </si>
  <si>
    <t>170.50.194.129</t>
  </si>
  <si>
    <t>170.50.194.254</t>
  </si>
  <si>
    <t>170.50.194.255</t>
  </si>
  <si>
    <t>5 Hosts</t>
  </si>
  <si>
    <t>IP 170.50.195.0/29</t>
  </si>
  <si>
    <t>170.50.195.1</t>
  </si>
  <si>
    <t>170.50.195.6</t>
  </si>
  <si>
    <t>170.50.195.7</t>
  </si>
  <si>
    <t>IP 179.100.20.0/15</t>
  </si>
  <si>
    <t>230 Hosts</t>
  </si>
  <si>
    <t>IP 179.100.20.0/24</t>
  </si>
  <si>
    <t>179.100.20.1</t>
  </si>
  <si>
    <t>179.100.20.254</t>
  </si>
  <si>
    <t>179.100.20.255</t>
  </si>
  <si>
    <t>120 Hosts</t>
  </si>
  <si>
    <t>IP 179.100.21.0/25</t>
  </si>
  <si>
    <t>179.100.21.1</t>
  </si>
  <si>
    <t>179.100.21.126</t>
  </si>
  <si>
    <t>179.100.21.127</t>
  </si>
  <si>
    <t>60 Hosts</t>
  </si>
  <si>
    <t>IP 179.100.21.128/26</t>
  </si>
  <si>
    <t>179.100.21.129</t>
  </si>
  <si>
    <t>179.100.21.190</t>
  </si>
  <si>
    <t>179.100.21.191</t>
  </si>
  <si>
    <t>30 Hosts</t>
  </si>
  <si>
    <t>IP 179.100.21.192/27</t>
  </si>
  <si>
    <t>179.100.21.193</t>
  </si>
  <si>
    <t>179.100.21.222</t>
  </si>
  <si>
    <t>179.100.21.223</t>
  </si>
  <si>
    <t>13 Hosts</t>
  </si>
  <si>
    <t>IP 179.100.21.224/30</t>
  </si>
  <si>
    <t>179.100.21.225</t>
  </si>
  <si>
    <t>179.100.21.226</t>
  </si>
  <si>
    <t>179.100.21.227</t>
  </si>
  <si>
    <t>.</t>
  </si>
  <si>
    <t>1er octeto</t>
  </si>
  <si>
    <t>2do octeto</t>
  </si>
  <si>
    <t>3er octeto</t>
  </si>
  <si>
    <t>4to octeto</t>
  </si>
  <si>
    <t>1500 Hosts</t>
  </si>
  <si>
    <t>IP 170.50.192.0/21</t>
  </si>
  <si>
    <t>170.50.199.254</t>
  </si>
  <si>
    <t>170.50.199.255</t>
  </si>
  <si>
    <t>900 Hosts</t>
  </si>
  <si>
    <t>IP 170.50.200.0/22</t>
  </si>
  <si>
    <t>170.50.200.1</t>
  </si>
  <si>
    <t>170.50.203.254</t>
  </si>
  <si>
    <t>170.50.203.255</t>
  </si>
  <si>
    <t>500 Hosts</t>
  </si>
  <si>
    <t>IP 170.50.204.0/22</t>
  </si>
  <si>
    <t>170.50.204.1</t>
  </si>
  <si>
    <t>170.50.205.254</t>
  </si>
  <si>
    <t>170.50.205.255</t>
  </si>
  <si>
    <t>100 Hosts</t>
  </si>
  <si>
    <t>IP 170.50.206.0/25</t>
  </si>
  <si>
    <t>170.50.206.1</t>
  </si>
  <si>
    <t>170.50.206.126</t>
  </si>
  <si>
    <t>170.50.206.127</t>
  </si>
  <si>
    <t>IP 170.50.206.128/27</t>
  </si>
  <si>
    <t>170.50.206.129</t>
  </si>
  <si>
    <t>170.50.206.158</t>
  </si>
  <si>
    <t>170.50.206.159</t>
  </si>
  <si>
    <t>IP 170.50.206.160/29</t>
  </si>
  <si>
    <t>170.50.206.161</t>
  </si>
  <si>
    <t>170.50.206.166</t>
  </si>
  <si>
    <t>170.50.206.167</t>
  </si>
  <si>
    <t>IP 175.99.50.0/18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</si>
</sst>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readingOrder="0"/>
    </xf>
    <xf borderId="2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Font="1"/>
    <xf borderId="2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</row>
    <row r="2">
      <c r="A2" s="2">
        <v>2.0</v>
      </c>
      <c r="B2" s="2">
        <v>2.0</v>
      </c>
      <c r="C2" s="2">
        <v>2.0</v>
      </c>
      <c r="D2" s="2">
        <v>2.0</v>
      </c>
      <c r="E2" s="2">
        <v>2.0</v>
      </c>
      <c r="F2" s="2">
        <v>2.0</v>
      </c>
      <c r="G2" s="2">
        <v>2.0</v>
      </c>
      <c r="H2" s="2">
        <v>2.0</v>
      </c>
      <c r="I2" s="2">
        <v>2.0</v>
      </c>
    </row>
    <row r="3">
      <c r="A3" s="3">
        <f t="shared" ref="A3:I3" si="1">A2^A1</f>
        <v>1</v>
      </c>
      <c r="B3" s="3">
        <f t="shared" si="1"/>
        <v>2</v>
      </c>
      <c r="C3" s="3">
        <f t="shared" si="1"/>
        <v>4</v>
      </c>
      <c r="D3" s="3">
        <f t="shared" si="1"/>
        <v>8</v>
      </c>
      <c r="E3" s="3">
        <f t="shared" si="1"/>
        <v>16</v>
      </c>
      <c r="F3" s="3">
        <f t="shared" si="1"/>
        <v>32</v>
      </c>
      <c r="G3" s="3">
        <f t="shared" si="1"/>
        <v>64</v>
      </c>
      <c r="H3" s="3">
        <f t="shared" si="1"/>
        <v>128</v>
      </c>
      <c r="I3" s="3">
        <f t="shared" si="1"/>
        <v>256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</cols>
  <sheetData>
    <row r="1">
      <c r="A1" s="4" t="s">
        <v>0</v>
      </c>
      <c r="B1" s="5"/>
      <c r="C1" s="5"/>
      <c r="D1" s="6"/>
    </row>
    <row r="2">
      <c r="H2" s="7" t="s">
        <v>1</v>
      </c>
    </row>
    <row r="3">
      <c r="A3" s="8" t="s">
        <v>2</v>
      </c>
      <c r="B3" s="5"/>
      <c r="C3" s="6"/>
      <c r="E3" s="7" t="s">
        <v>3</v>
      </c>
      <c r="F3" s="7" t="s">
        <v>4</v>
      </c>
      <c r="H3" s="7">
        <v>90.0</v>
      </c>
    </row>
    <row r="4">
      <c r="A4" s="8" t="s">
        <v>5</v>
      </c>
      <c r="B4" s="5"/>
      <c r="C4" s="6"/>
      <c r="E4" s="7">
        <v>2.0</v>
      </c>
      <c r="F4" s="7">
        <v>32.0</v>
      </c>
      <c r="H4" s="7">
        <v>70.0</v>
      </c>
    </row>
    <row r="5">
      <c r="A5" s="9" t="s">
        <v>6</v>
      </c>
      <c r="B5" s="10" t="s">
        <v>7</v>
      </c>
      <c r="C5" s="6"/>
      <c r="E5" s="7">
        <v>8.0</v>
      </c>
      <c r="F5" s="7">
        <v>8.0</v>
      </c>
      <c r="H5" s="7">
        <v>150.0</v>
      </c>
    </row>
    <row r="6">
      <c r="A6" s="9" t="s">
        <v>8</v>
      </c>
      <c r="B6" s="10" t="s">
        <v>9</v>
      </c>
      <c r="C6" s="6"/>
      <c r="E6" s="11">
        <f>(E4^E5)-2</f>
        <v>254</v>
      </c>
      <c r="F6" s="11">
        <f>F4-F5</f>
        <v>24</v>
      </c>
      <c r="H6" s="7">
        <v>5.0</v>
      </c>
    </row>
    <row r="7">
      <c r="A7" s="9" t="s">
        <v>10</v>
      </c>
      <c r="B7" s="10" t="s">
        <v>11</v>
      </c>
      <c r="C7" s="6"/>
      <c r="H7" s="7">
        <v>200.0</v>
      </c>
    </row>
    <row r="9">
      <c r="A9" s="8" t="s">
        <v>12</v>
      </c>
      <c r="B9" s="5"/>
      <c r="C9" s="6"/>
      <c r="E9" s="7" t="s">
        <v>3</v>
      </c>
      <c r="F9" s="7" t="s">
        <v>4</v>
      </c>
    </row>
    <row r="10">
      <c r="A10" s="8" t="s">
        <v>13</v>
      </c>
      <c r="B10" s="5"/>
      <c r="C10" s="6"/>
      <c r="E10" s="7">
        <v>2.0</v>
      </c>
      <c r="F10" s="7">
        <v>32.0</v>
      </c>
    </row>
    <row r="11">
      <c r="A11" s="9" t="s">
        <v>6</v>
      </c>
      <c r="B11" s="10" t="s">
        <v>14</v>
      </c>
      <c r="C11" s="6"/>
      <c r="E11" s="7">
        <v>8.0</v>
      </c>
      <c r="F11" s="7">
        <v>8.0</v>
      </c>
    </row>
    <row r="12">
      <c r="A12" s="9" t="s">
        <v>8</v>
      </c>
      <c r="B12" s="10" t="s">
        <v>15</v>
      </c>
      <c r="C12" s="6"/>
      <c r="E12" s="11">
        <f>(E10^E11)-2</f>
        <v>254</v>
      </c>
      <c r="F12" s="11">
        <f>F10-F11</f>
        <v>24</v>
      </c>
    </row>
    <row r="13">
      <c r="A13" s="9" t="s">
        <v>10</v>
      </c>
      <c r="B13" s="10" t="s">
        <v>16</v>
      </c>
      <c r="C13" s="6"/>
    </row>
    <row r="15">
      <c r="A15" s="8" t="s">
        <v>17</v>
      </c>
      <c r="B15" s="5"/>
      <c r="C15" s="6"/>
      <c r="E15" s="7" t="s">
        <v>3</v>
      </c>
      <c r="F15" s="7" t="s">
        <v>4</v>
      </c>
    </row>
    <row r="16">
      <c r="A16" s="8" t="s">
        <v>18</v>
      </c>
      <c r="B16" s="5"/>
      <c r="C16" s="6"/>
      <c r="E16" s="7">
        <v>2.0</v>
      </c>
      <c r="F16" s="7">
        <v>32.0</v>
      </c>
    </row>
    <row r="17">
      <c r="A17" s="9" t="s">
        <v>6</v>
      </c>
      <c r="B17" s="10" t="s">
        <v>19</v>
      </c>
      <c r="C17" s="6"/>
      <c r="E17" s="7">
        <v>7.0</v>
      </c>
      <c r="F17" s="7">
        <v>7.0</v>
      </c>
    </row>
    <row r="18">
      <c r="A18" s="9" t="s">
        <v>8</v>
      </c>
      <c r="B18" s="10" t="s">
        <v>20</v>
      </c>
      <c r="C18" s="6"/>
      <c r="E18" s="11">
        <f>(E16^E17)-2</f>
        <v>126</v>
      </c>
      <c r="F18" s="11">
        <f>F16-F17</f>
        <v>25</v>
      </c>
    </row>
    <row r="19">
      <c r="A19" s="9" t="s">
        <v>10</v>
      </c>
      <c r="B19" s="10" t="s">
        <v>21</v>
      </c>
      <c r="C19" s="6"/>
    </row>
    <row r="21">
      <c r="A21" s="12" t="s">
        <v>22</v>
      </c>
      <c r="B21" s="5"/>
      <c r="C21" s="6"/>
      <c r="D21" s="13"/>
      <c r="E21" s="13" t="s">
        <v>3</v>
      </c>
      <c r="F21" s="13" t="s">
        <v>4</v>
      </c>
      <c r="G21" s="7" t="s">
        <v>23</v>
      </c>
    </row>
    <row r="22">
      <c r="A22" s="12" t="s">
        <v>24</v>
      </c>
      <c r="B22" s="5"/>
      <c r="C22" s="6"/>
      <c r="D22" s="13"/>
      <c r="E22" s="14">
        <v>2.0</v>
      </c>
      <c r="F22" s="14">
        <v>32.0</v>
      </c>
      <c r="G22" s="11">
        <f>128+E24</f>
        <v>254</v>
      </c>
    </row>
    <row r="23">
      <c r="A23" s="15" t="s">
        <v>6</v>
      </c>
      <c r="B23" s="16" t="s">
        <v>25</v>
      </c>
      <c r="C23" s="6"/>
      <c r="D23" s="13"/>
      <c r="E23" s="17">
        <v>7.0</v>
      </c>
      <c r="F23" s="17">
        <v>7.0</v>
      </c>
    </row>
    <row r="24">
      <c r="A24" s="15" t="s">
        <v>8</v>
      </c>
      <c r="B24" s="16" t="s">
        <v>26</v>
      </c>
      <c r="C24" s="6"/>
      <c r="D24" s="13"/>
      <c r="E24" s="14">
        <f>(E22^E23)-2</f>
        <v>126</v>
      </c>
      <c r="F24" s="14">
        <f>F22-F23</f>
        <v>25</v>
      </c>
    </row>
    <row r="25">
      <c r="A25" s="15" t="s">
        <v>10</v>
      </c>
      <c r="B25" s="16" t="s">
        <v>27</v>
      </c>
      <c r="C25" s="6"/>
      <c r="D25" s="13"/>
      <c r="E25" s="13"/>
      <c r="F25" s="13"/>
    </row>
    <row r="27">
      <c r="A27" s="12" t="s">
        <v>28</v>
      </c>
      <c r="B27" s="5"/>
      <c r="C27" s="6"/>
      <c r="D27" s="13"/>
      <c r="E27" s="13" t="s">
        <v>3</v>
      </c>
      <c r="F27" s="13" t="s">
        <v>4</v>
      </c>
    </row>
    <row r="28">
      <c r="A28" s="12" t="s">
        <v>29</v>
      </c>
      <c r="B28" s="5"/>
      <c r="C28" s="6"/>
      <c r="D28" s="13"/>
      <c r="E28" s="14">
        <v>2.0</v>
      </c>
      <c r="F28" s="14">
        <v>32.0</v>
      </c>
    </row>
    <row r="29">
      <c r="A29" s="15" t="s">
        <v>6</v>
      </c>
      <c r="B29" s="16" t="s">
        <v>30</v>
      </c>
      <c r="C29" s="6"/>
      <c r="D29" s="13"/>
      <c r="E29" s="17">
        <v>3.0</v>
      </c>
      <c r="F29" s="17">
        <v>3.0</v>
      </c>
    </row>
    <row r="30">
      <c r="A30" s="15" t="s">
        <v>8</v>
      </c>
      <c r="B30" s="16" t="s">
        <v>31</v>
      </c>
      <c r="C30" s="6"/>
      <c r="D30" s="13"/>
      <c r="E30" s="14">
        <f>(E28^E29)-2</f>
        <v>6</v>
      </c>
      <c r="F30" s="14">
        <f>F28-F29</f>
        <v>29</v>
      </c>
    </row>
    <row r="31">
      <c r="A31" s="15" t="s">
        <v>10</v>
      </c>
      <c r="B31" s="16" t="s">
        <v>32</v>
      </c>
      <c r="C31" s="6"/>
      <c r="D31" s="13"/>
      <c r="E31" s="13"/>
      <c r="F31" s="13"/>
    </row>
  </sheetData>
  <mergeCells count="26">
    <mergeCell ref="A1:D1"/>
    <mergeCell ref="A3:C3"/>
    <mergeCell ref="A4:C4"/>
    <mergeCell ref="B5:C5"/>
    <mergeCell ref="B6:C6"/>
    <mergeCell ref="B7:C7"/>
    <mergeCell ref="A9:C9"/>
    <mergeCell ref="A10:C10"/>
    <mergeCell ref="B11:C11"/>
    <mergeCell ref="B12:C12"/>
    <mergeCell ref="B13:C13"/>
    <mergeCell ref="A15:C15"/>
    <mergeCell ref="A16:C16"/>
    <mergeCell ref="B17:C17"/>
    <mergeCell ref="A27:C27"/>
    <mergeCell ref="A28:C28"/>
    <mergeCell ref="B29:C29"/>
    <mergeCell ref="B30:C30"/>
    <mergeCell ref="B31:C31"/>
    <mergeCell ref="B18:C18"/>
    <mergeCell ref="B19:C19"/>
    <mergeCell ref="A21:C21"/>
    <mergeCell ref="A22:C22"/>
    <mergeCell ref="B23:C23"/>
    <mergeCell ref="B24:C24"/>
    <mergeCell ref="B25:C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</cols>
  <sheetData>
    <row r="1">
      <c r="A1" s="4" t="s">
        <v>33</v>
      </c>
      <c r="B1" s="5"/>
      <c r="C1" s="5"/>
      <c r="D1" s="6"/>
    </row>
    <row r="2">
      <c r="H2" s="7" t="s">
        <v>1</v>
      </c>
    </row>
    <row r="3">
      <c r="A3" s="8" t="s">
        <v>34</v>
      </c>
      <c r="B3" s="5"/>
      <c r="C3" s="6"/>
      <c r="E3" s="7" t="s">
        <v>3</v>
      </c>
      <c r="F3" s="7" t="s">
        <v>4</v>
      </c>
      <c r="H3" s="7">
        <v>230.0</v>
      </c>
    </row>
    <row r="4">
      <c r="A4" s="8" t="s">
        <v>35</v>
      </c>
      <c r="B4" s="5"/>
      <c r="C4" s="6"/>
      <c r="E4" s="7">
        <v>2.0</v>
      </c>
      <c r="F4" s="7">
        <v>32.0</v>
      </c>
      <c r="H4" s="7">
        <v>120.0</v>
      </c>
    </row>
    <row r="5">
      <c r="A5" s="9" t="s">
        <v>6</v>
      </c>
      <c r="B5" s="10" t="s">
        <v>36</v>
      </c>
      <c r="C5" s="6"/>
      <c r="E5" s="7">
        <v>8.0</v>
      </c>
      <c r="F5" s="7">
        <v>8.0</v>
      </c>
      <c r="H5" s="7">
        <v>60.0</v>
      </c>
    </row>
    <row r="6">
      <c r="A6" s="9" t="s">
        <v>8</v>
      </c>
      <c r="B6" s="10" t="s">
        <v>37</v>
      </c>
      <c r="C6" s="6"/>
      <c r="E6" s="11">
        <f>(E4^E5)-2</f>
        <v>254</v>
      </c>
      <c r="F6" s="11">
        <f>F4-F5</f>
        <v>24</v>
      </c>
      <c r="H6" s="7">
        <v>30.0</v>
      </c>
    </row>
    <row r="7">
      <c r="A7" s="9" t="s">
        <v>10</v>
      </c>
      <c r="B7" s="10" t="s">
        <v>38</v>
      </c>
      <c r="C7" s="6"/>
      <c r="H7" s="7">
        <v>13.0</v>
      </c>
    </row>
    <row r="8">
      <c r="H8" s="7">
        <v>2.0</v>
      </c>
    </row>
    <row r="9">
      <c r="A9" s="8" t="s">
        <v>39</v>
      </c>
      <c r="B9" s="5"/>
      <c r="C9" s="6"/>
      <c r="E9" s="7" t="s">
        <v>3</v>
      </c>
      <c r="F9" s="7" t="s">
        <v>4</v>
      </c>
    </row>
    <row r="10">
      <c r="A10" s="8" t="s">
        <v>40</v>
      </c>
      <c r="B10" s="5"/>
      <c r="C10" s="6"/>
      <c r="E10" s="7">
        <v>2.0</v>
      </c>
      <c r="F10" s="7">
        <v>32.0</v>
      </c>
    </row>
    <row r="11">
      <c r="A11" s="9" t="s">
        <v>6</v>
      </c>
      <c r="B11" s="10" t="s">
        <v>41</v>
      </c>
      <c r="C11" s="6"/>
      <c r="E11" s="7">
        <v>7.0</v>
      </c>
      <c r="F11" s="7">
        <v>7.0</v>
      </c>
    </row>
    <row r="12">
      <c r="A12" s="9" t="s">
        <v>8</v>
      </c>
      <c r="B12" s="10" t="s">
        <v>42</v>
      </c>
      <c r="C12" s="6"/>
      <c r="E12" s="11">
        <f>(E10^E11)-2</f>
        <v>126</v>
      </c>
      <c r="F12" s="11">
        <f>F10-F11</f>
        <v>25</v>
      </c>
    </row>
    <row r="13">
      <c r="A13" s="9" t="s">
        <v>10</v>
      </c>
      <c r="B13" s="10" t="s">
        <v>43</v>
      </c>
      <c r="C13" s="6"/>
    </row>
    <row r="15">
      <c r="A15" s="8" t="s">
        <v>44</v>
      </c>
      <c r="B15" s="5"/>
      <c r="C15" s="6"/>
      <c r="E15" s="7" t="s">
        <v>3</v>
      </c>
      <c r="F15" s="7" t="s">
        <v>4</v>
      </c>
    </row>
    <row r="16">
      <c r="A16" s="8" t="s">
        <v>45</v>
      </c>
      <c r="B16" s="5"/>
      <c r="C16" s="6"/>
      <c r="E16" s="7">
        <v>2.0</v>
      </c>
      <c r="F16" s="7">
        <v>32.0</v>
      </c>
      <c r="G16" s="11">
        <f>128+E18</f>
        <v>190</v>
      </c>
    </row>
    <row r="17">
      <c r="A17" s="9" t="s">
        <v>6</v>
      </c>
      <c r="B17" s="10" t="s">
        <v>46</v>
      </c>
      <c r="C17" s="6"/>
      <c r="E17" s="7">
        <v>6.0</v>
      </c>
      <c r="F17" s="7">
        <v>6.0</v>
      </c>
    </row>
    <row r="18">
      <c r="A18" s="9" t="s">
        <v>8</v>
      </c>
      <c r="B18" s="10" t="s">
        <v>47</v>
      </c>
      <c r="C18" s="6"/>
      <c r="E18" s="11">
        <f>(E16^E17)-2</f>
        <v>62</v>
      </c>
      <c r="F18" s="11">
        <f>F16-F17</f>
        <v>26</v>
      </c>
    </row>
    <row r="19">
      <c r="A19" s="9" t="s">
        <v>10</v>
      </c>
      <c r="B19" s="10" t="s">
        <v>48</v>
      </c>
      <c r="C19" s="6"/>
    </row>
    <row r="21">
      <c r="A21" s="12" t="s">
        <v>49</v>
      </c>
      <c r="B21" s="5"/>
      <c r="C21" s="6"/>
      <c r="D21" s="13"/>
      <c r="E21" s="13" t="s">
        <v>3</v>
      </c>
      <c r="F21" s="13" t="s">
        <v>4</v>
      </c>
      <c r="G21" s="7" t="s">
        <v>23</v>
      </c>
    </row>
    <row r="22">
      <c r="A22" s="12" t="s">
        <v>50</v>
      </c>
      <c r="B22" s="5"/>
      <c r="C22" s="6"/>
      <c r="D22" s="13"/>
      <c r="E22" s="14">
        <v>2.0</v>
      </c>
      <c r="F22" s="14">
        <v>32.0</v>
      </c>
      <c r="G22" s="11">
        <f>192+E24</f>
        <v>222</v>
      </c>
    </row>
    <row r="23">
      <c r="A23" s="15" t="s">
        <v>6</v>
      </c>
      <c r="B23" s="16" t="s">
        <v>51</v>
      </c>
      <c r="C23" s="6"/>
      <c r="D23" s="13"/>
      <c r="E23" s="17">
        <v>5.0</v>
      </c>
      <c r="F23" s="17">
        <v>5.0</v>
      </c>
    </row>
    <row r="24">
      <c r="A24" s="15" t="s">
        <v>8</v>
      </c>
      <c r="B24" s="16" t="s">
        <v>52</v>
      </c>
      <c r="C24" s="6"/>
      <c r="D24" s="13"/>
      <c r="E24" s="14">
        <f>(E22^E23)-2</f>
        <v>30</v>
      </c>
      <c r="F24" s="14">
        <f>F22-F23</f>
        <v>27</v>
      </c>
    </row>
    <row r="25">
      <c r="A25" s="15" t="s">
        <v>10</v>
      </c>
      <c r="B25" s="16" t="s">
        <v>53</v>
      </c>
      <c r="C25" s="6"/>
      <c r="D25" s="13"/>
      <c r="E25" s="13"/>
    </row>
    <row r="27">
      <c r="A27" s="12" t="s">
        <v>54</v>
      </c>
      <c r="B27" s="5"/>
      <c r="C27" s="6"/>
      <c r="D27" s="13"/>
      <c r="E27" s="13" t="s">
        <v>3</v>
      </c>
      <c r="F27" s="13" t="s">
        <v>4</v>
      </c>
    </row>
    <row r="28">
      <c r="A28" s="12" t="s">
        <v>55</v>
      </c>
      <c r="B28" s="5"/>
      <c r="C28" s="6"/>
      <c r="D28" s="13"/>
      <c r="E28" s="14">
        <v>2.0</v>
      </c>
      <c r="F28" s="14">
        <v>32.0</v>
      </c>
      <c r="G28" s="11">
        <f>224+E30</f>
        <v>226</v>
      </c>
    </row>
    <row r="29">
      <c r="A29" s="15" t="s">
        <v>6</v>
      </c>
      <c r="B29" s="16" t="s">
        <v>56</v>
      </c>
      <c r="C29" s="6"/>
      <c r="D29" s="13"/>
      <c r="E29" s="17">
        <v>2.0</v>
      </c>
      <c r="F29" s="17">
        <v>2.0</v>
      </c>
    </row>
    <row r="30">
      <c r="A30" s="15" t="s">
        <v>8</v>
      </c>
      <c r="B30" s="16" t="s">
        <v>57</v>
      </c>
      <c r="C30" s="6"/>
      <c r="D30" s="13"/>
      <c r="E30" s="14">
        <f>(E28^E29)-2</f>
        <v>2</v>
      </c>
      <c r="F30" s="14">
        <f>F28-F29</f>
        <v>30</v>
      </c>
    </row>
    <row r="31">
      <c r="A31" s="15" t="s">
        <v>10</v>
      </c>
      <c r="B31" s="16" t="s">
        <v>58</v>
      </c>
      <c r="C31" s="6"/>
      <c r="D31" s="13"/>
      <c r="E31" s="13"/>
    </row>
    <row r="32">
      <c r="B32" s="7" t="s">
        <v>59</v>
      </c>
    </row>
  </sheetData>
  <mergeCells count="31">
    <mergeCell ref="A1:D1"/>
    <mergeCell ref="A3:C3"/>
    <mergeCell ref="A4:C4"/>
    <mergeCell ref="B5:C5"/>
    <mergeCell ref="B6:C6"/>
    <mergeCell ref="B7:C7"/>
    <mergeCell ref="E7:F7"/>
    <mergeCell ref="A9:C9"/>
    <mergeCell ref="A10:C10"/>
    <mergeCell ref="B11:C11"/>
    <mergeCell ref="B12:C12"/>
    <mergeCell ref="B13:C13"/>
    <mergeCell ref="E13:F13"/>
    <mergeCell ref="A15:C15"/>
    <mergeCell ref="A16:C16"/>
    <mergeCell ref="B17:C17"/>
    <mergeCell ref="B18:C18"/>
    <mergeCell ref="B19:C19"/>
    <mergeCell ref="E19:F19"/>
    <mergeCell ref="A21:C21"/>
    <mergeCell ref="A22:C22"/>
    <mergeCell ref="B30:C30"/>
    <mergeCell ref="B31:C31"/>
    <mergeCell ref="E31:F31"/>
    <mergeCell ref="B23:C23"/>
    <mergeCell ref="B24:C24"/>
    <mergeCell ref="B25:C25"/>
    <mergeCell ref="E25:F25"/>
    <mergeCell ref="A27:C27"/>
    <mergeCell ref="A28:C28"/>
    <mergeCell ref="B29:C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</cols>
  <sheetData>
    <row r="1">
      <c r="A1" s="4" t="s">
        <v>0</v>
      </c>
      <c r="B1" s="5"/>
      <c r="C1" s="5"/>
      <c r="D1" s="6"/>
    </row>
    <row r="2">
      <c r="H2" s="7" t="s">
        <v>60</v>
      </c>
      <c r="I2" s="7" t="s">
        <v>61</v>
      </c>
      <c r="J2" s="7" t="s">
        <v>62</v>
      </c>
      <c r="K2" s="7" t="s">
        <v>63</v>
      </c>
      <c r="M2" s="7" t="s">
        <v>1</v>
      </c>
    </row>
    <row r="3">
      <c r="A3" s="8" t="s">
        <v>64</v>
      </c>
      <c r="B3" s="5"/>
      <c r="C3" s="6"/>
      <c r="E3" s="7" t="s">
        <v>3</v>
      </c>
      <c r="F3" s="7" t="s">
        <v>4</v>
      </c>
      <c r="H3" s="7">
        <v>170.0</v>
      </c>
      <c r="I3" s="7">
        <v>50.0</v>
      </c>
      <c r="J3" s="7">
        <v>192.0</v>
      </c>
      <c r="K3" s="7">
        <v>0.0</v>
      </c>
      <c r="M3" s="7">
        <v>100.0</v>
      </c>
    </row>
    <row r="4">
      <c r="A4" s="8" t="s">
        <v>65</v>
      </c>
      <c r="B4" s="5"/>
      <c r="C4" s="6"/>
      <c r="E4" s="7">
        <v>2.0</v>
      </c>
      <c r="F4" s="7">
        <v>32.0</v>
      </c>
      <c r="H4" s="7">
        <v>170.0</v>
      </c>
      <c r="I4" s="7">
        <v>50.0</v>
      </c>
      <c r="J4" s="11">
        <f>J3+_xlfn.FLOOR.MATH(E6/256)</f>
        <v>199</v>
      </c>
      <c r="K4" s="11">
        <f>((E6/256)-_xlfn.floor.math(E6/256))*256</f>
        <v>254</v>
      </c>
      <c r="M4" s="7">
        <v>30.0</v>
      </c>
    </row>
    <row r="5">
      <c r="A5" s="9" t="s">
        <v>6</v>
      </c>
      <c r="B5" s="10" t="s">
        <v>7</v>
      </c>
      <c r="C5" s="6"/>
      <c r="E5" s="7">
        <v>11.0</v>
      </c>
      <c r="F5" s="7">
        <v>11.0</v>
      </c>
      <c r="M5" s="7">
        <v>1500.0</v>
      </c>
    </row>
    <row r="6">
      <c r="A6" s="9" t="s">
        <v>8</v>
      </c>
      <c r="B6" s="10" t="s">
        <v>66</v>
      </c>
      <c r="C6" s="6"/>
      <c r="E6" s="11">
        <f>(E4^E5)-2</f>
        <v>2046</v>
      </c>
      <c r="F6" s="11">
        <f>F4-F5</f>
        <v>21</v>
      </c>
      <c r="M6" s="7">
        <v>500.0</v>
      </c>
    </row>
    <row r="7">
      <c r="A7" s="9" t="s">
        <v>10</v>
      </c>
      <c r="B7" s="10" t="s">
        <v>67</v>
      </c>
      <c r="C7" s="6"/>
      <c r="M7" s="7">
        <v>900.0</v>
      </c>
    </row>
    <row r="8">
      <c r="H8" s="7" t="s">
        <v>60</v>
      </c>
      <c r="I8" s="7" t="s">
        <v>61</v>
      </c>
      <c r="J8" s="7" t="s">
        <v>62</v>
      </c>
      <c r="K8" s="7" t="s">
        <v>63</v>
      </c>
      <c r="M8" s="7">
        <v>5.0</v>
      </c>
    </row>
    <row r="9">
      <c r="A9" s="8" t="s">
        <v>68</v>
      </c>
      <c r="B9" s="5"/>
      <c r="C9" s="6"/>
      <c r="E9" s="7" t="s">
        <v>3</v>
      </c>
      <c r="F9" s="7" t="s">
        <v>4</v>
      </c>
      <c r="H9" s="7">
        <v>170.0</v>
      </c>
      <c r="I9" s="7">
        <v>50.0</v>
      </c>
      <c r="J9" s="7">
        <v>200.0</v>
      </c>
      <c r="K9" s="7">
        <v>0.0</v>
      </c>
    </row>
    <row r="10">
      <c r="A10" s="8" t="s">
        <v>69</v>
      </c>
      <c r="B10" s="5"/>
      <c r="C10" s="6"/>
      <c r="E10" s="7">
        <v>2.0</v>
      </c>
      <c r="F10" s="7">
        <v>32.0</v>
      </c>
      <c r="H10" s="7">
        <v>170.0</v>
      </c>
      <c r="I10" s="7">
        <v>50.0</v>
      </c>
      <c r="J10" s="11">
        <f>J9+_xlfn.FLOOR.MATH(E12/256)</f>
        <v>203</v>
      </c>
      <c r="K10" s="11">
        <f>((E12/256)-_xlfn.floor.math(E12/256))*256</f>
        <v>254</v>
      </c>
    </row>
    <row r="11">
      <c r="A11" s="9" t="s">
        <v>6</v>
      </c>
      <c r="B11" s="10" t="s">
        <v>70</v>
      </c>
      <c r="C11" s="6"/>
      <c r="E11" s="7">
        <v>10.0</v>
      </c>
      <c r="F11" s="7">
        <v>10.0</v>
      </c>
      <c r="K11" s="18"/>
    </row>
    <row r="12">
      <c r="A12" s="9" t="s">
        <v>8</v>
      </c>
      <c r="B12" s="10" t="s">
        <v>71</v>
      </c>
      <c r="C12" s="6"/>
      <c r="E12" s="11">
        <f>(E10^E11)-2</f>
        <v>1022</v>
      </c>
      <c r="F12" s="11">
        <f>F10-F11</f>
        <v>22</v>
      </c>
    </row>
    <row r="13">
      <c r="A13" s="9" t="s">
        <v>10</v>
      </c>
      <c r="B13" s="10" t="s">
        <v>72</v>
      </c>
      <c r="C13" s="6"/>
    </row>
    <row r="15">
      <c r="A15" s="8" t="s">
        <v>73</v>
      </c>
      <c r="B15" s="5"/>
      <c r="C15" s="6"/>
      <c r="E15" s="7" t="s">
        <v>3</v>
      </c>
      <c r="F15" s="7" t="s">
        <v>4</v>
      </c>
      <c r="H15" s="7" t="s">
        <v>60</v>
      </c>
      <c r="I15" s="7" t="s">
        <v>61</v>
      </c>
      <c r="J15" s="7" t="s">
        <v>62</v>
      </c>
      <c r="K15" s="7" t="s">
        <v>63</v>
      </c>
    </row>
    <row r="16">
      <c r="A16" s="8" t="s">
        <v>74</v>
      </c>
      <c r="B16" s="5"/>
      <c r="C16" s="6"/>
      <c r="E16" s="7">
        <v>2.0</v>
      </c>
      <c r="F16" s="7">
        <v>32.0</v>
      </c>
      <c r="H16" s="7">
        <v>170.0</v>
      </c>
      <c r="I16" s="7">
        <v>50.0</v>
      </c>
      <c r="J16" s="7">
        <v>204.0</v>
      </c>
      <c r="K16" s="7">
        <v>0.0</v>
      </c>
    </row>
    <row r="17">
      <c r="A17" s="9" t="s">
        <v>6</v>
      </c>
      <c r="B17" s="10" t="s">
        <v>75</v>
      </c>
      <c r="C17" s="6"/>
      <c r="E17" s="7">
        <v>9.0</v>
      </c>
      <c r="F17" s="7">
        <v>9.0</v>
      </c>
      <c r="H17" s="7">
        <v>170.0</v>
      </c>
      <c r="I17" s="7">
        <v>50.0</v>
      </c>
      <c r="J17" s="11">
        <f>J16+_xlfn.FLOOR.MATH(E18/256)</f>
        <v>205</v>
      </c>
      <c r="K17" s="11">
        <f>((E18/256)-_xlfn.floor.math(E18/256))*256</f>
        <v>254</v>
      </c>
    </row>
    <row r="18">
      <c r="A18" s="9" t="s">
        <v>8</v>
      </c>
      <c r="B18" s="10" t="s">
        <v>76</v>
      </c>
      <c r="C18" s="6"/>
      <c r="E18" s="11">
        <f>(E16^E17)-2</f>
        <v>510</v>
      </c>
      <c r="F18" s="11">
        <f>F16-F17</f>
        <v>23</v>
      </c>
    </row>
    <row r="19">
      <c r="A19" s="9" t="s">
        <v>10</v>
      </c>
      <c r="B19" s="10" t="s">
        <v>77</v>
      </c>
      <c r="C19" s="6"/>
    </row>
    <row r="21">
      <c r="A21" s="12" t="s">
        <v>78</v>
      </c>
      <c r="B21" s="5"/>
      <c r="C21" s="6"/>
      <c r="D21" s="13"/>
      <c r="E21" s="13" t="s">
        <v>3</v>
      </c>
      <c r="F21" s="13" t="s">
        <v>4</v>
      </c>
      <c r="G21" s="7" t="s">
        <v>23</v>
      </c>
      <c r="H21" s="7" t="s">
        <v>60</v>
      </c>
      <c r="I21" s="7" t="s">
        <v>61</v>
      </c>
      <c r="J21" s="7" t="s">
        <v>62</v>
      </c>
      <c r="K21" s="7" t="s">
        <v>63</v>
      </c>
    </row>
    <row r="22">
      <c r="A22" s="12" t="s">
        <v>79</v>
      </c>
      <c r="B22" s="5"/>
      <c r="C22" s="6"/>
      <c r="D22" s="13"/>
      <c r="E22" s="14">
        <v>2.0</v>
      </c>
      <c r="F22" s="14">
        <v>32.0</v>
      </c>
    </row>
    <row r="23">
      <c r="A23" s="15" t="s">
        <v>6</v>
      </c>
      <c r="B23" s="16" t="s">
        <v>80</v>
      </c>
      <c r="C23" s="6"/>
      <c r="D23" s="13"/>
      <c r="E23" s="17">
        <v>7.0</v>
      </c>
      <c r="F23" s="17">
        <v>7.0</v>
      </c>
    </row>
    <row r="24">
      <c r="A24" s="15" t="s">
        <v>8</v>
      </c>
      <c r="B24" s="16" t="s">
        <v>81</v>
      </c>
      <c r="C24" s="6"/>
      <c r="D24" s="13"/>
      <c r="E24" s="14">
        <f>(E22^E23)-2</f>
        <v>126</v>
      </c>
      <c r="F24" s="14">
        <f>F22-F23</f>
        <v>25</v>
      </c>
    </row>
    <row r="25">
      <c r="A25" s="15" t="s">
        <v>10</v>
      </c>
      <c r="B25" s="16" t="s">
        <v>82</v>
      </c>
      <c r="C25" s="6"/>
      <c r="D25" s="13"/>
      <c r="E25" s="13"/>
      <c r="F25" s="13"/>
    </row>
    <row r="27">
      <c r="A27" s="12" t="s">
        <v>49</v>
      </c>
      <c r="B27" s="5"/>
      <c r="C27" s="6"/>
      <c r="D27" s="13"/>
      <c r="E27" s="13" t="s">
        <v>3</v>
      </c>
      <c r="F27" s="13" t="s">
        <v>4</v>
      </c>
      <c r="H27" s="7" t="s">
        <v>60</v>
      </c>
      <c r="I27" s="7" t="s">
        <v>61</v>
      </c>
      <c r="J27" s="7" t="s">
        <v>62</v>
      </c>
      <c r="K27" s="7" t="s">
        <v>63</v>
      </c>
    </row>
    <row r="28">
      <c r="A28" s="12" t="s">
        <v>83</v>
      </c>
      <c r="B28" s="5"/>
      <c r="C28" s="6"/>
      <c r="D28" s="13"/>
      <c r="E28" s="14">
        <v>2.0</v>
      </c>
      <c r="F28" s="14">
        <v>32.0</v>
      </c>
      <c r="G28" s="11">
        <f>128+E30</f>
        <v>158</v>
      </c>
    </row>
    <row r="29">
      <c r="A29" s="15" t="s">
        <v>6</v>
      </c>
      <c r="B29" s="16" t="s">
        <v>84</v>
      </c>
      <c r="C29" s="6"/>
      <c r="D29" s="13"/>
      <c r="E29" s="17">
        <v>5.0</v>
      </c>
      <c r="F29" s="17">
        <v>5.0</v>
      </c>
    </row>
    <row r="30">
      <c r="A30" s="15" t="s">
        <v>8</v>
      </c>
      <c r="B30" s="16" t="s">
        <v>85</v>
      </c>
      <c r="C30" s="6"/>
      <c r="D30" s="13"/>
      <c r="E30" s="14">
        <f>(E28^E29)-2</f>
        <v>30</v>
      </c>
      <c r="F30" s="14">
        <f>F28-F29</f>
        <v>27</v>
      </c>
    </row>
    <row r="31">
      <c r="A31" s="15" t="s">
        <v>10</v>
      </c>
      <c r="B31" s="16" t="s">
        <v>86</v>
      </c>
      <c r="C31" s="6"/>
      <c r="D31" s="13"/>
      <c r="E31" s="13"/>
      <c r="F31" s="13"/>
    </row>
    <row r="33">
      <c r="A33" s="12" t="s">
        <v>28</v>
      </c>
      <c r="B33" s="5"/>
      <c r="C33" s="6"/>
      <c r="D33" s="13"/>
      <c r="E33" s="13" t="s">
        <v>3</v>
      </c>
      <c r="F33" s="13" t="s">
        <v>4</v>
      </c>
      <c r="H33" s="7" t="s">
        <v>60</v>
      </c>
      <c r="I33" s="7" t="s">
        <v>61</v>
      </c>
      <c r="J33" s="7" t="s">
        <v>62</v>
      </c>
      <c r="K33" s="7" t="s">
        <v>63</v>
      </c>
    </row>
    <row r="34">
      <c r="A34" s="12" t="s">
        <v>87</v>
      </c>
      <c r="B34" s="5"/>
      <c r="C34" s="6"/>
      <c r="D34" s="13"/>
      <c r="E34" s="14">
        <v>2.0</v>
      </c>
      <c r="F34" s="14">
        <v>32.0</v>
      </c>
      <c r="G34" s="11">
        <f>160+E36</f>
        <v>166</v>
      </c>
    </row>
    <row r="35">
      <c r="A35" s="15" t="s">
        <v>6</v>
      </c>
      <c r="B35" s="16" t="s">
        <v>88</v>
      </c>
      <c r="C35" s="6"/>
      <c r="D35" s="13"/>
      <c r="E35" s="17">
        <v>3.0</v>
      </c>
      <c r="F35" s="17">
        <v>3.0</v>
      </c>
    </row>
    <row r="36">
      <c r="A36" s="15" t="s">
        <v>8</v>
      </c>
      <c r="B36" s="16" t="s">
        <v>89</v>
      </c>
      <c r="C36" s="6"/>
      <c r="D36" s="13"/>
      <c r="E36" s="14">
        <f>(E34^E35)-2</f>
        <v>6</v>
      </c>
      <c r="F36" s="14">
        <f>F34-F35</f>
        <v>29</v>
      </c>
    </row>
    <row r="37">
      <c r="A37" s="15" t="s">
        <v>10</v>
      </c>
      <c r="B37" s="16" t="s">
        <v>90</v>
      </c>
      <c r="C37" s="6"/>
      <c r="D37" s="13"/>
      <c r="E37" s="13"/>
      <c r="F37" s="13"/>
    </row>
  </sheetData>
  <mergeCells count="31">
    <mergeCell ref="A1:D1"/>
    <mergeCell ref="A3:C3"/>
    <mergeCell ref="A4:C4"/>
    <mergeCell ref="B5:C5"/>
    <mergeCell ref="B6:C6"/>
    <mergeCell ref="B7:C7"/>
    <mergeCell ref="A9:C9"/>
    <mergeCell ref="A10:C10"/>
    <mergeCell ref="B11:C11"/>
    <mergeCell ref="B12:C12"/>
    <mergeCell ref="B13:C13"/>
    <mergeCell ref="A15:C15"/>
    <mergeCell ref="A16:C16"/>
    <mergeCell ref="B17:C17"/>
    <mergeCell ref="B18:C18"/>
    <mergeCell ref="B19:C19"/>
    <mergeCell ref="A21:C21"/>
    <mergeCell ref="A22:C22"/>
    <mergeCell ref="B23:C23"/>
    <mergeCell ref="B24:C24"/>
    <mergeCell ref="B25:C25"/>
    <mergeCell ref="B35:C35"/>
    <mergeCell ref="B36:C36"/>
    <mergeCell ref="B37:C37"/>
    <mergeCell ref="A27:C27"/>
    <mergeCell ref="A28:C28"/>
    <mergeCell ref="B29:C29"/>
    <mergeCell ref="B30:C30"/>
    <mergeCell ref="B31:C31"/>
    <mergeCell ref="A33:C33"/>
    <mergeCell ref="A34:C3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</cols>
  <sheetData>
    <row r="1">
      <c r="A1" s="4" t="s">
        <v>91</v>
      </c>
      <c r="B1" s="5"/>
      <c r="C1" s="5"/>
      <c r="D1" s="6"/>
    </row>
    <row r="2">
      <c r="H2" s="7" t="s">
        <v>60</v>
      </c>
      <c r="I2" s="7" t="s">
        <v>61</v>
      </c>
      <c r="J2" s="7" t="s">
        <v>62</v>
      </c>
      <c r="K2" s="7" t="s">
        <v>63</v>
      </c>
      <c r="M2" s="7" t="s">
        <v>1</v>
      </c>
    </row>
    <row r="3">
      <c r="A3" s="8" t="s">
        <v>64</v>
      </c>
      <c r="B3" s="5"/>
      <c r="C3" s="6"/>
      <c r="E3" s="7" t="s">
        <v>3</v>
      </c>
      <c r="F3" s="7" t="s">
        <v>4</v>
      </c>
      <c r="H3" s="7">
        <v>170.0</v>
      </c>
      <c r="I3" s="7">
        <v>50.0</v>
      </c>
      <c r="J3" s="7">
        <v>192.0</v>
      </c>
      <c r="K3" s="7">
        <v>0.0</v>
      </c>
      <c r="M3" s="7">
        <v>230.0</v>
      </c>
    </row>
    <row r="4">
      <c r="A4" s="8" t="s">
        <v>65</v>
      </c>
      <c r="B4" s="5"/>
      <c r="C4" s="6"/>
      <c r="E4" s="7">
        <v>2.0</v>
      </c>
      <c r="F4" s="7">
        <v>32.0</v>
      </c>
      <c r="H4" s="7">
        <v>170.0</v>
      </c>
      <c r="I4" s="7">
        <v>50.0</v>
      </c>
      <c r="J4" s="11">
        <f>J3+_xlfn.FLOOR.MATH(E6/256)</f>
        <v>199</v>
      </c>
      <c r="K4" s="11">
        <f>((E6/256)-_xlfn.floor.math(E6/256))*256</f>
        <v>254</v>
      </c>
      <c r="M4" s="7">
        <v>820.0</v>
      </c>
    </row>
    <row r="5">
      <c r="A5" s="9" t="s">
        <v>6</v>
      </c>
      <c r="B5" s="10" t="s">
        <v>7</v>
      </c>
      <c r="C5" s="6"/>
      <c r="E5" s="7">
        <v>11.0</v>
      </c>
      <c r="F5" s="7">
        <v>11.0</v>
      </c>
      <c r="M5" s="7">
        <v>510.0</v>
      </c>
    </row>
    <row r="6">
      <c r="A6" s="9" t="s">
        <v>8</v>
      </c>
      <c r="B6" s="10" t="s">
        <v>66</v>
      </c>
      <c r="C6" s="6"/>
      <c r="E6" s="11">
        <f>(E4^E5)-2</f>
        <v>2046</v>
      </c>
      <c r="F6" s="11">
        <f>F4-F5</f>
        <v>21</v>
      </c>
      <c r="M6" s="7">
        <v>1450.0</v>
      </c>
    </row>
    <row r="7">
      <c r="A7" s="9" t="s">
        <v>10</v>
      </c>
      <c r="B7" s="10" t="s">
        <v>67</v>
      </c>
      <c r="C7" s="6"/>
      <c r="M7" s="7">
        <v>5.0</v>
      </c>
    </row>
    <row r="8">
      <c r="H8" s="7" t="s">
        <v>60</v>
      </c>
      <c r="I8" s="7" t="s">
        <v>61</v>
      </c>
      <c r="J8" s="7" t="s">
        <v>62</v>
      </c>
      <c r="K8" s="7" t="s">
        <v>63</v>
      </c>
      <c r="M8" s="7">
        <v>30.0</v>
      </c>
    </row>
    <row r="9">
      <c r="A9" s="8" t="s">
        <v>68</v>
      </c>
      <c r="B9" s="5"/>
      <c r="C9" s="6"/>
      <c r="E9" s="7" t="s">
        <v>3</v>
      </c>
      <c r="F9" s="7" t="s">
        <v>4</v>
      </c>
      <c r="H9" s="7">
        <v>170.0</v>
      </c>
      <c r="I9" s="7">
        <v>50.0</v>
      </c>
      <c r="J9" s="7">
        <v>200.0</v>
      </c>
      <c r="K9" s="7">
        <v>0.0</v>
      </c>
    </row>
    <row r="10">
      <c r="A10" s="8" t="s">
        <v>69</v>
      </c>
      <c r="B10" s="5"/>
      <c r="C10" s="6"/>
      <c r="E10" s="7">
        <v>2.0</v>
      </c>
      <c r="F10" s="7">
        <v>32.0</v>
      </c>
      <c r="H10" s="7">
        <v>170.0</v>
      </c>
      <c r="I10" s="7">
        <v>50.0</v>
      </c>
      <c r="J10" s="11">
        <f>J9+_xlfn.FLOOR.MATH(E12/256)</f>
        <v>203</v>
      </c>
      <c r="K10" s="11">
        <f>((E12/256)-_xlfn.floor.math(E12/256))*256</f>
        <v>254</v>
      </c>
    </row>
    <row r="11">
      <c r="A11" s="9" t="s">
        <v>6</v>
      </c>
      <c r="B11" s="10" t="s">
        <v>70</v>
      </c>
      <c r="C11" s="6"/>
      <c r="E11" s="7">
        <v>10.0</v>
      </c>
      <c r="F11" s="7">
        <v>10.0</v>
      </c>
      <c r="K11" s="18"/>
    </row>
    <row r="12">
      <c r="A12" s="9" t="s">
        <v>8</v>
      </c>
      <c r="B12" s="10" t="s">
        <v>71</v>
      </c>
      <c r="C12" s="6"/>
      <c r="E12" s="11">
        <f>(E10^E11)-2</f>
        <v>1022</v>
      </c>
      <c r="F12" s="11">
        <f>F10-F11</f>
        <v>22</v>
      </c>
    </row>
    <row r="13">
      <c r="A13" s="9" t="s">
        <v>10</v>
      </c>
      <c r="B13" s="10" t="s">
        <v>72</v>
      </c>
      <c r="C13" s="6"/>
    </row>
    <row r="15">
      <c r="A15" s="8" t="s">
        <v>73</v>
      </c>
      <c r="B15" s="5"/>
      <c r="C15" s="6"/>
      <c r="E15" s="7" t="s">
        <v>3</v>
      </c>
      <c r="F15" s="7" t="s">
        <v>4</v>
      </c>
      <c r="H15" s="7" t="s">
        <v>60</v>
      </c>
      <c r="I15" s="7" t="s">
        <v>61</v>
      </c>
      <c r="J15" s="7" t="s">
        <v>62</v>
      </c>
      <c r="K15" s="7" t="s">
        <v>63</v>
      </c>
    </row>
    <row r="16">
      <c r="A16" s="8" t="s">
        <v>74</v>
      </c>
      <c r="B16" s="5"/>
      <c r="C16" s="6"/>
      <c r="E16" s="7">
        <v>2.0</v>
      </c>
      <c r="F16" s="7">
        <v>32.0</v>
      </c>
      <c r="H16" s="7">
        <v>170.0</v>
      </c>
      <c r="I16" s="7">
        <v>50.0</v>
      </c>
      <c r="J16" s="7">
        <v>204.0</v>
      </c>
      <c r="K16" s="7">
        <v>0.0</v>
      </c>
    </row>
    <row r="17">
      <c r="A17" s="9" t="s">
        <v>6</v>
      </c>
      <c r="B17" s="10" t="s">
        <v>75</v>
      </c>
      <c r="C17" s="6"/>
      <c r="E17" s="7">
        <v>9.0</v>
      </c>
      <c r="F17" s="7">
        <v>9.0</v>
      </c>
      <c r="H17" s="7">
        <v>170.0</v>
      </c>
      <c r="I17" s="7">
        <v>50.0</v>
      </c>
      <c r="J17" s="11">
        <f>J16+_xlfn.FLOOR.MATH(E18/256)</f>
        <v>205</v>
      </c>
      <c r="K17" s="11">
        <f>((E18/256)-_xlfn.floor.math(E18/256))*256</f>
        <v>254</v>
      </c>
    </row>
    <row r="18">
      <c r="A18" s="9" t="s">
        <v>8</v>
      </c>
      <c r="B18" s="10" t="s">
        <v>76</v>
      </c>
      <c r="C18" s="6"/>
      <c r="E18" s="11">
        <f>(E16^E17)-2</f>
        <v>510</v>
      </c>
      <c r="F18" s="11">
        <f>F16-F17</f>
        <v>23</v>
      </c>
    </row>
    <row r="19">
      <c r="A19" s="9" t="s">
        <v>10</v>
      </c>
      <c r="B19" s="10" t="s">
        <v>77</v>
      </c>
      <c r="C19" s="6"/>
    </row>
    <row r="21">
      <c r="A21" s="12" t="s">
        <v>78</v>
      </c>
      <c r="B21" s="5"/>
      <c r="C21" s="6"/>
      <c r="D21" s="13"/>
      <c r="E21" s="13" t="s">
        <v>3</v>
      </c>
      <c r="F21" s="13" t="s">
        <v>4</v>
      </c>
      <c r="G21" s="7" t="s">
        <v>23</v>
      </c>
      <c r="H21" s="7" t="s">
        <v>60</v>
      </c>
      <c r="I21" s="7" t="s">
        <v>61</v>
      </c>
      <c r="J21" s="7" t="s">
        <v>62</v>
      </c>
      <c r="K21" s="7" t="s">
        <v>63</v>
      </c>
    </row>
    <row r="22">
      <c r="A22" s="12" t="s">
        <v>79</v>
      </c>
      <c r="B22" s="5"/>
      <c r="C22" s="6"/>
      <c r="D22" s="13"/>
      <c r="E22" s="14">
        <v>2.0</v>
      </c>
      <c r="F22" s="14">
        <v>32.0</v>
      </c>
    </row>
    <row r="23">
      <c r="A23" s="15" t="s">
        <v>6</v>
      </c>
      <c r="B23" s="16" t="s">
        <v>80</v>
      </c>
      <c r="C23" s="6"/>
      <c r="D23" s="13"/>
      <c r="E23" s="17">
        <v>7.0</v>
      </c>
      <c r="F23" s="17">
        <v>7.0</v>
      </c>
    </row>
    <row r="24">
      <c r="A24" s="15" t="s">
        <v>8</v>
      </c>
      <c r="B24" s="16" t="s">
        <v>81</v>
      </c>
      <c r="C24" s="6"/>
      <c r="D24" s="13"/>
      <c r="E24" s="14">
        <f>(E22^E23)-2</f>
        <v>126</v>
      </c>
      <c r="F24" s="14">
        <f>F22-F23</f>
        <v>25</v>
      </c>
    </row>
    <row r="25">
      <c r="A25" s="15" t="s">
        <v>10</v>
      </c>
      <c r="B25" s="16" t="s">
        <v>82</v>
      </c>
      <c r="C25" s="6"/>
      <c r="D25" s="13"/>
      <c r="E25" s="13"/>
      <c r="F25" s="13"/>
    </row>
    <row r="27">
      <c r="A27" s="12" t="s">
        <v>49</v>
      </c>
      <c r="B27" s="5"/>
      <c r="C27" s="6"/>
      <c r="D27" s="13"/>
      <c r="E27" s="13" t="s">
        <v>3</v>
      </c>
      <c r="F27" s="13" t="s">
        <v>4</v>
      </c>
      <c r="H27" s="7" t="s">
        <v>60</v>
      </c>
      <c r="I27" s="7" t="s">
        <v>61</v>
      </c>
      <c r="J27" s="7" t="s">
        <v>62</v>
      </c>
      <c r="K27" s="7" t="s">
        <v>63</v>
      </c>
    </row>
    <row r="28">
      <c r="A28" s="12" t="s">
        <v>83</v>
      </c>
      <c r="B28" s="5"/>
      <c r="C28" s="6"/>
      <c r="D28" s="13"/>
      <c r="E28" s="14">
        <v>2.0</v>
      </c>
      <c r="F28" s="14">
        <v>32.0</v>
      </c>
      <c r="G28" s="11">
        <f>128+E30</f>
        <v>158</v>
      </c>
    </row>
    <row r="29">
      <c r="A29" s="15" t="s">
        <v>6</v>
      </c>
      <c r="B29" s="16" t="s">
        <v>84</v>
      </c>
      <c r="C29" s="6"/>
      <c r="D29" s="13"/>
      <c r="E29" s="17">
        <v>5.0</v>
      </c>
      <c r="F29" s="17">
        <v>5.0</v>
      </c>
    </row>
    <row r="30">
      <c r="A30" s="15" t="s">
        <v>8</v>
      </c>
      <c r="B30" s="16" t="s">
        <v>85</v>
      </c>
      <c r="C30" s="6"/>
      <c r="D30" s="13"/>
      <c r="E30" s="14">
        <f>(E28^E29)-2</f>
        <v>30</v>
      </c>
      <c r="F30" s="14">
        <f>F28-F29</f>
        <v>27</v>
      </c>
    </row>
    <row r="31">
      <c r="A31" s="15" t="s">
        <v>10</v>
      </c>
      <c r="B31" s="16" t="s">
        <v>86</v>
      </c>
      <c r="C31" s="6"/>
      <c r="D31" s="13"/>
      <c r="E31" s="13"/>
      <c r="F31" s="13"/>
    </row>
    <row r="33">
      <c r="A33" s="12" t="s">
        <v>28</v>
      </c>
      <c r="B33" s="5"/>
      <c r="C33" s="6"/>
      <c r="D33" s="13"/>
      <c r="E33" s="13" t="s">
        <v>3</v>
      </c>
      <c r="F33" s="13" t="s">
        <v>4</v>
      </c>
      <c r="H33" s="7" t="s">
        <v>60</v>
      </c>
      <c r="I33" s="7" t="s">
        <v>61</v>
      </c>
      <c r="J33" s="7" t="s">
        <v>62</v>
      </c>
      <c r="K33" s="7" t="s">
        <v>63</v>
      </c>
    </row>
    <row r="34">
      <c r="A34" s="12" t="s">
        <v>87</v>
      </c>
      <c r="B34" s="5"/>
      <c r="C34" s="6"/>
      <c r="D34" s="13"/>
      <c r="E34" s="14">
        <v>2.0</v>
      </c>
      <c r="F34" s="14">
        <v>32.0</v>
      </c>
      <c r="G34" s="11">
        <f>160+E36</f>
        <v>166</v>
      </c>
    </row>
    <row r="35">
      <c r="A35" s="15" t="s">
        <v>6</v>
      </c>
      <c r="B35" s="16" t="s">
        <v>88</v>
      </c>
      <c r="C35" s="6"/>
      <c r="D35" s="13"/>
      <c r="E35" s="17">
        <v>3.0</v>
      </c>
      <c r="F35" s="17">
        <v>3.0</v>
      </c>
    </row>
    <row r="36">
      <c r="A36" s="15" t="s">
        <v>8</v>
      </c>
      <c r="B36" s="16" t="s">
        <v>89</v>
      </c>
      <c r="C36" s="6"/>
      <c r="D36" s="13"/>
      <c r="E36" s="14">
        <f>(E34^E35)-2</f>
        <v>6</v>
      </c>
      <c r="F36" s="14">
        <f>F34-F35</f>
        <v>29</v>
      </c>
    </row>
    <row r="37">
      <c r="A37" s="15" t="s">
        <v>10</v>
      </c>
      <c r="B37" s="16" t="s">
        <v>90</v>
      </c>
      <c r="C37" s="6"/>
      <c r="D37" s="13"/>
      <c r="E37" s="13"/>
      <c r="F37" s="13"/>
    </row>
  </sheetData>
  <mergeCells count="31">
    <mergeCell ref="A1:D1"/>
    <mergeCell ref="A3:C3"/>
    <mergeCell ref="A4:C4"/>
    <mergeCell ref="B5:C5"/>
    <mergeCell ref="B6:C6"/>
    <mergeCell ref="B7:C7"/>
    <mergeCell ref="A9:C9"/>
    <mergeCell ref="A10:C10"/>
    <mergeCell ref="B11:C11"/>
    <mergeCell ref="B12:C12"/>
    <mergeCell ref="B13:C13"/>
    <mergeCell ref="A15:C15"/>
    <mergeCell ref="A16:C16"/>
    <mergeCell ref="B17:C17"/>
    <mergeCell ref="B18:C18"/>
    <mergeCell ref="B19:C19"/>
    <mergeCell ref="A21:C21"/>
    <mergeCell ref="A22:C22"/>
    <mergeCell ref="B23:C23"/>
    <mergeCell ref="B24:C24"/>
    <mergeCell ref="B25:C25"/>
    <mergeCell ref="B35:C35"/>
    <mergeCell ref="B36:C36"/>
    <mergeCell ref="B37:C37"/>
    <mergeCell ref="A27:C27"/>
    <mergeCell ref="A28:C28"/>
    <mergeCell ref="B29:C29"/>
    <mergeCell ref="B30:C30"/>
    <mergeCell ref="B31:C31"/>
    <mergeCell ref="A33:C33"/>
    <mergeCell ref="A34:C34"/>
  </mergeCells>
  <drawing r:id="rId1"/>
</worksheet>
</file>