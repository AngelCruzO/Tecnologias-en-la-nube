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SM 1" sheetId="1" r:id="rId4"/>
    <sheet state="visible" name="FLSM 2" sheetId="2" r:id="rId5"/>
    <sheet state="visible" name="FLSM 3" sheetId="3" r:id="rId6"/>
    <sheet state="visible" name="FLSM 4" sheetId="4" r:id="rId7"/>
  </sheets>
  <definedNames/>
  <calcPr/>
</workbook>
</file>

<file path=xl/sharedStrings.xml><?xml version="1.0" encoding="utf-8"?>
<sst xmlns="http://schemas.openxmlformats.org/spreadsheetml/2006/main" count="124" uniqueCount="72">
  <si>
    <t>Mascara red</t>
  </si>
  <si>
    <t>Rango</t>
  </si>
  <si>
    <t>192.168.10.0/24, obtener 4 subredes</t>
  </si>
  <si>
    <t>bit host</t>
  </si>
  <si>
    <t>cantidad host</t>
  </si>
  <si>
    <t>IP Red</t>
  </si>
  <si>
    <t>1ra ip</t>
  </si>
  <si>
    <t>ultima ip</t>
  </si>
  <si>
    <t>broadcast</t>
  </si>
  <si>
    <t>mascara</t>
  </si>
  <si>
    <t>prefijo</t>
  </si>
  <si>
    <t>192.168.10.0</t>
  </si>
  <si>
    <t>192.168.10.1</t>
  </si>
  <si>
    <t>192.168.10.62</t>
  </si>
  <si>
    <t>192.168.10.63</t>
  </si>
  <si>
    <t>255.255.255.192</t>
  </si>
  <si>
    <t>Calcular waicar</t>
  </si>
  <si>
    <t>192.168.10.64</t>
  </si>
  <si>
    <t>192.168.10.65</t>
  </si>
  <si>
    <t>192.168.10.126</t>
  </si>
  <si>
    <t>192.168.10.127</t>
  </si>
  <si>
    <t>255.255.255.255</t>
  </si>
  <si>
    <t>192.168.10.128</t>
  </si>
  <si>
    <t>192.168.10.129</t>
  </si>
  <si>
    <t>192.168.10.190</t>
  </si>
  <si>
    <t>192.168.10.191</t>
  </si>
  <si>
    <t>192.168.10.192</t>
  </si>
  <si>
    <t>192.168.10.193</t>
  </si>
  <si>
    <t>192.168.10.254</t>
  </si>
  <si>
    <t>192.168.10.255</t>
  </si>
  <si>
    <t>0.0.0.63</t>
  </si>
  <si>
    <t>10.0.0.0/8, obtener 1000 subredes</t>
  </si>
  <si>
    <t>10.0.0.0</t>
  </si>
  <si>
    <t>10.0.0.1</t>
  </si>
  <si>
    <t>10.0.63.254</t>
  </si>
  <si>
    <t>10.0.63.255</t>
  </si>
  <si>
    <t>255.255.192.0</t>
  </si>
  <si>
    <t>10.0.64.0</t>
  </si>
  <si>
    <t>10.0.64.1</t>
  </si>
  <si>
    <t>10.0.127.254</t>
  </si>
  <si>
    <t>10.0.127.255</t>
  </si>
  <si>
    <t>0.0.63.255</t>
  </si>
  <si>
    <t>172.16.0.0/16, obtener 50 subredes</t>
  </si>
  <si>
    <t>172.16.0.0</t>
  </si>
  <si>
    <t>172.16.0.1</t>
  </si>
  <si>
    <t>172.16.3.254</t>
  </si>
  <si>
    <t>172.16.3.255</t>
  </si>
  <si>
    <t>255.255.252.0</t>
  </si>
  <si>
    <t>172.16.4.0</t>
  </si>
  <si>
    <t>172.16.4.1</t>
  </si>
  <si>
    <t>172.16.7.254</t>
  </si>
  <si>
    <t>172.16.7.255</t>
  </si>
  <si>
    <t>172.16.8.0</t>
  </si>
  <si>
    <t>172.16.8.1</t>
  </si>
  <si>
    <t>172.16.11.254</t>
  </si>
  <si>
    <t>172.16.11.255</t>
  </si>
  <si>
    <t>0.0.3.255</t>
  </si>
  <si>
    <t>192.168.50.0/24, obtener 8 subredes</t>
  </si>
  <si>
    <t>192.168.50.0</t>
  </si>
  <si>
    <t>192.168.50.1</t>
  </si>
  <si>
    <t>192.168.50.30</t>
  </si>
  <si>
    <t>192.168.50.31</t>
  </si>
  <si>
    <t>255.255.255.224</t>
  </si>
  <si>
    <t>192.168.50.32</t>
  </si>
  <si>
    <t>192.168.50.33</t>
  </si>
  <si>
    <t>192.168.50.62</t>
  </si>
  <si>
    <t>192.168.50.63</t>
  </si>
  <si>
    <t>192.168.50.64</t>
  </si>
  <si>
    <t>192.168.50.65</t>
  </si>
  <si>
    <t>192.168.50.94</t>
  </si>
  <si>
    <t>192.168.50.95</t>
  </si>
  <si>
    <t>0.0.0.31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</si>
</sst>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Font="1"/>
    <xf borderId="1" fillId="0" fontId="1" numFmtId="0" xfId="0" applyBorder="1" applyFont="1"/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5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K1" s="2" t="s">
        <v>0</v>
      </c>
    </row>
    <row r="2">
      <c r="A2" s="3">
        <v>2.0</v>
      </c>
      <c r="B2" s="3">
        <v>2.0</v>
      </c>
      <c r="C2" s="3">
        <v>2.0</v>
      </c>
      <c r="D2" s="3">
        <v>2.0</v>
      </c>
      <c r="E2" s="3">
        <v>2.0</v>
      </c>
      <c r="F2" s="3">
        <v>2.0</v>
      </c>
      <c r="G2" s="3">
        <v>2.0</v>
      </c>
      <c r="H2" s="3">
        <v>2.0</v>
      </c>
      <c r="I2" s="3">
        <v>2.0</v>
      </c>
      <c r="K2" s="4">
        <f>24+2</f>
        <v>26</v>
      </c>
    </row>
    <row r="3">
      <c r="A3" s="5">
        <f t="shared" ref="A3:I3" si="1">A2^A1</f>
        <v>1</v>
      </c>
      <c r="B3" s="5">
        <f t="shared" si="1"/>
        <v>2</v>
      </c>
      <c r="C3" s="5">
        <f t="shared" si="1"/>
        <v>4</v>
      </c>
      <c r="D3" s="5">
        <f t="shared" si="1"/>
        <v>8</v>
      </c>
      <c r="E3" s="5">
        <f t="shared" si="1"/>
        <v>16</v>
      </c>
      <c r="F3" s="5">
        <f t="shared" si="1"/>
        <v>32</v>
      </c>
      <c r="G3" s="5">
        <f t="shared" si="1"/>
        <v>64</v>
      </c>
      <c r="H3" s="5">
        <f t="shared" si="1"/>
        <v>128</v>
      </c>
      <c r="I3" s="5">
        <f t="shared" si="1"/>
        <v>256</v>
      </c>
    </row>
    <row r="4">
      <c r="K4" s="2" t="s">
        <v>1</v>
      </c>
    </row>
    <row r="5">
      <c r="A5" s="6" t="s">
        <v>2</v>
      </c>
      <c r="K5" s="4">
        <f>2^6</f>
        <v>64</v>
      </c>
    </row>
    <row r="7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>
      <c r="A8" s="7">
        <f t="shared" ref="A8:A11" si="2">32-H8</f>
        <v>6</v>
      </c>
      <c r="B8" s="7">
        <v>64.0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>
        <v>26.0</v>
      </c>
      <c r="K8" s="2" t="s">
        <v>16</v>
      </c>
    </row>
    <row r="9">
      <c r="A9" s="7">
        <f t="shared" si="2"/>
        <v>6</v>
      </c>
      <c r="B9" s="7">
        <v>64.0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15</v>
      </c>
      <c r="H9" s="7">
        <v>26.0</v>
      </c>
      <c r="K9" s="2" t="s">
        <v>21</v>
      </c>
    </row>
    <row r="10">
      <c r="A10" s="7">
        <f t="shared" si="2"/>
        <v>6</v>
      </c>
      <c r="B10" s="7">
        <v>64.0</v>
      </c>
      <c r="C10" s="7" t="s">
        <v>22</v>
      </c>
      <c r="D10" s="7" t="s">
        <v>23</v>
      </c>
      <c r="E10" s="7" t="s">
        <v>24</v>
      </c>
      <c r="F10" s="7" t="s">
        <v>25</v>
      </c>
      <c r="G10" s="7" t="s">
        <v>15</v>
      </c>
      <c r="H10" s="7">
        <v>26.0</v>
      </c>
      <c r="K10" s="2" t="s">
        <v>15</v>
      </c>
    </row>
    <row r="11">
      <c r="A11" s="7">
        <f t="shared" si="2"/>
        <v>6</v>
      </c>
      <c r="B11" s="7">
        <v>64.0</v>
      </c>
      <c r="C11" s="7" t="s">
        <v>26</v>
      </c>
      <c r="D11" s="7" t="s">
        <v>27</v>
      </c>
      <c r="E11" s="7" t="s">
        <v>28</v>
      </c>
      <c r="F11" s="7" t="s">
        <v>29</v>
      </c>
      <c r="G11" s="7" t="s">
        <v>15</v>
      </c>
      <c r="H11" s="7">
        <v>26.0</v>
      </c>
      <c r="K11" s="2" t="s">
        <v>30</v>
      </c>
    </row>
  </sheetData>
  <mergeCells count="1">
    <mergeCell ref="A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5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K1" s="2" t="s">
        <v>0</v>
      </c>
    </row>
    <row r="2">
      <c r="A2" s="3">
        <v>2.0</v>
      </c>
      <c r="B2" s="3">
        <v>2.0</v>
      </c>
      <c r="C2" s="3">
        <v>2.0</v>
      </c>
      <c r="D2" s="3">
        <v>2.0</v>
      </c>
      <c r="E2" s="3">
        <v>2.0</v>
      </c>
      <c r="F2" s="3">
        <v>2.0</v>
      </c>
      <c r="G2" s="3">
        <v>2.0</v>
      </c>
      <c r="H2" s="3">
        <v>2.0</v>
      </c>
      <c r="I2" s="3">
        <v>2.0</v>
      </c>
      <c r="K2" s="4">
        <f>10+8</f>
        <v>18</v>
      </c>
    </row>
    <row r="3">
      <c r="A3" s="5">
        <f t="shared" ref="A3:I3" si="1">A2^A1</f>
        <v>1</v>
      </c>
      <c r="B3" s="5">
        <f t="shared" si="1"/>
        <v>2</v>
      </c>
      <c r="C3" s="5">
        <f t="shared" si="1"/>
        <v>4</v>
      </c>
      <c r="D3" s="5">
        <f t="shared" si="1"/>
        <v>8</v>
      </c>
      <c r="E3" s="5">
        <f t="shared" si="1"/>
        <v>16</v>
      </c>
      <c r="F3" s="5">
        <f t="shared" si="1"/>
        <v>32</v>
      </c>
      <c r="G3" s="5">
        <f t="shared" si="1"/>
        <v>64</v>
      </c>
      <c r="H3" s="5">
        <f t="shared" si="1"/>
        <v>128</v>
      </c>
      <c r="I3" s="5">
        <f t="shared" si="1"/>
        <v>256</v>
      </c>
    </row>
    <row r="4">
      <c r="K4" s="2" t="s">
        <v>1</v>
      </c>
    </row>
    <row r="5">
      <c r="A5" s="6" t="s">
        <v>31</v>
      </c>
      <c r="K5" s="4">
        <f>2^14</f>
        <v>16384</v>
      </c>
    </row>
    <row r="7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>
      <c r="A8" s="7">
        <f t="shared" ref="A8:A11" si="2">32-H8</f>
        <v>14</v>
      </c>
      <c r="B8" s="7">
        <v>16384.0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H8" s="7">
        <v>18.0</v>
      </c>
      <c r="K8" s="2" t="s">
        <v>16</v>
      </c>
    </row>
    <row r="9">
      <c r="A9" s="7">
        <f t="shared" si="2"/>
        <v>14</v>
      </c>
      <c r="B9" s="7">
        <v>16384.0</v>
      </c>
      <c r="C9" s="7" t="s">
        <v>37</v>
      </c>
      <c r="D9" s="7" t="s">
        <v>38</v>
      </c>
      <c r="E9" s="2" t="s">
        <v>39</v>
      </c>
      <c r="F9" s="7" t="s">
        <v>40</v>
      </c>
      <c r="G9" s="7" t="s">
        <v>36</v>
      </c>
      <c r="H9" s="7">
        <v>18.0</v>
      </c>
      <c r="K9" s="2" t="s">
        <v>21</v>
      </c>
    </row>
    <row r="10">
      <c r="A10" s="7">
        <f t="shared" si="2"/>
        <v>14</v>
      </c>
      <c r="B10" s="7">
        <v>16384.0</v>
      </c>
      <c r="C10" s="7"/>
      <c r="D10" s="7"/>
      <c r="E10" s="7"/>
      <c r="F10" s="7"/>
      <c r="G10" s="7" t="s">
        <v>36</v>
      </c>
      <c r="H10" s="7">
        <v>18.0</v>
      </c>
      <c r="K10" s="2" t="s">
        <v>36</v>
      </c>
    </row>
    <row r="11">
      <c r="A11" s="7">
        <f t="shared" si="2"/>
        <v>14</v>
      </c>
      <c r="B11" s="7">
        <v>16384.0</v>
      </c>
      <c r="C11" s="7"/>
      <c r="D11" s="7"/>
      <c r="E11" s="7"/>
      <c r="F11" s="7"/>
      <c r="G11" s="7" t="s">
        <v>36</v>
      </c>
      <c r="H11" s="7">
        <v>18.0</v>
      </c>
      <c r="K11" s="2" t="s">
        <v>41</v>
      </c>
    </row>
  </sheetData>
  <mergeCells count="1">
    <mergeCell ref="A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5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K1" s="2" t="s">
        <v>0</v>
      </c>
    </row>
    <row r="2">
      <c r="A2" s="3">
        <v>2.0</v>
      </c>
      <c r="B2" s="3">
        <v>2.0</v>
      </c>
      <c r="C2" s="3">
        <v>2.0</v>
      </c>
      <c r="D2" s="3">
        <v>2.0</v>
      </c>
      <c r="E2" s="3">
        <v>2.0</v>
      </c>
      <c r="F2" s="3">
        <v>2.0</v>
      </c>
      <c r="G2" s="3">
        <v>2.0</v>
      </c>
      <c r="H2" s="3">
        <v>2.0</v>
      </c>
      <c r="I2" s="3">
        <v>2.0</v>
      </c>
      <c r="K2" s="4">
        <f>6+16</f>
        <v>22</v>
      </c>
    </row>
    <row r="3">
      <c r="A3" s="5">
        <f t="shared" ref="A3:I3" si="1">A2^A1</f>
        <v>1</v>
      </c>
      <c r="B3" s="5">
        <f t="shared" si="1"/>
        <v>2</v>
      </c>
      <c r="C3" s="5">
        <f t="shared" si="1"/>
        <v>4</v>
      </c>
      <c r="D3" s="5">
        <f t="shared" si="1"/>
        <v>8</v>
      </c>
      <c r="E3" s="5">
        <f t="shared" si="1"/>
        <v>16</v>
      </c>
      <c r="F3" s="5">
        <f t="shared" si="1"/>
        <v>32</v>
      </c>
      <c r="G3" s="5">
        <f t="shared" si="1"/>
        <v>64</v>
      </c>
      <c r="H3" s="5">
        <f t="shared" si="1"/>
        <v>128</v>
      </c>
      <c r="I3" s="5">
        <f t="shared" si="1"/>
        <v>256</v>
      </c>
    </row>
    <row r="4">
      <c r="K4" s="2" t="s">
        <v>1</v>
      </c>
    </row>
    <row r="5">
      <c r="A5" s="6" t="s">
        <v>42</v>
      </c>
      <c r="K5" s="4">
        <f>2^10</f>
        <v>1024</v>
      </c>
    </row>
    <row r="7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>
      <c r="A8" s="7">
        <f t="shared" ref="A8:A11" si="2">32-H8</f>
        <v>10</v>
      </c>
      <c r="B8" s="7">
        <v>1024.0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>
        <v>22.0</v>
      </c>
      <c r="K8" s="2" t="s">
        <v>16</v>
      </c>
    </row>
    <row r="9">
      <c r="A9" s="7">
        <f t="shared" si="2"/>
        <v>10</v>
      </c>
      <c r="B9" s="7">
        <v>1024.0</v>
      </c>
      <c r="C9" s="7" t="s">
        <v>48</v>
      </c>
      <c r="D9" s="7" t="s">
        <v>49</v>
      </c>
      <c r="E9" s="7" t="s">
        <v>50</v>
      </c>
      <c r="F9" s="7" t="s">
        <v>51</v>
      </c>
      <c r="G9" s="7" t="s">
        <v>47</v>
      </c>
      <c r="H9" s="7">
        <v>22.0</v>
      </c>
      <c r="K9" s="2" t="s">
        <v>21</v>
      </c>
    </row>
    <row r="10">
      <c r="A10" s="7">
        <f t="shared" si="2"/>
        <v>10</v>
      </c>
      <c r="B10" s="7">
        <v>1024.0</v>
      </c>
      <c r="C10" s="7" t="s">
        <v>52</v>
      </c>
      <c r="D10" s="7" t="s">
        <v>53</v>
      </c>
      <c r="E10" s="7" t="s">
        <v>54</v>
      </c>
      <c r="F10" s="7" t="s">
        <v>55</v>
      </c>
      <c r="G10" s="7" t="s">
        <v>47</v>
      </c>
      <c r="H10" s="7">
        <v>22.0</v>
      </c>
      <c r="K10" s="2" t="s">
        <v>47</v>
      </c>
    </row>
    <row r="11">
      <c r="A11" s="7">
        <f t="shared" si="2"/>
        <v>10</v>
      </c>
      <c r="B11" s="7">
        <v>1024.0</v>
      </c>
      <c r="C11" s="7"/>
      <c r="D11" s="7"/>
      <c r="E11" s="7"/>
      <c r="F11" s="7"/>
      <c r="G11" s="7" t="s">
        <v>47</v>
      </c>
      <c r="H11" s="7">
        <v>22.0</v>
      </c>
      <c r="K11" s="2" t="s">
        <v>56</v>
      </c>
    </row>
  </sheetData>
  <mergeCells count="1">
    <mergeCell ref="A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5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K1" s="2" t="s">
        <v>0</v>
      </c>
    </row>
    <row r="2">
      <c r="A2" s="3">
        <v>2.0</v>
      </c>
      <c r="B2" s="3">
        <v>2.0</v>
      </c>
      <c r="C2" s="3">
        <v>2.0</v>
      </c>
      <c r="D2" s="3">
        <v>2.0</v>
      </c>
      <c r="E2" s="3">
        <v>2.0</v>
      </c>
      <c r="F2" s="3">
        <v>2.0</v>
      </c>
      <c r="G2" s="3">
        <v>2.0</v>
      </c>
      <c r="H2" s="3">
        <v>2.0</v>
      </c>
      <c r="I2" s="3">
        <v>2.0</v>
      </c>
      <c r="K2" s="4">
        <f>2+24</f>
        <v>26</v>
      </c>
    </row>
    <row r="3">
      <c r="A3" s="5">
        <f t="shared" ref="A3:I3" si="1">A2^A1</f>
        <v>1</v>
      </c>
      <c r="B3" s="5">
        <f t="shared" si="1"/>
        <v>2</v>
      </c>
      <c r="C3" s="5">
        <f t="shared" si="1"/>
        <v>4</v>
      </c>
      <c r="D3" s="5">
        <f t="shared" si="1"/>
        <v>8</v>
      </c>
      <c r="E3" s="5">
        <f t="shared" si="1"/>
        <v>16</v>
      </c>
      <c r="F3" s="5">
        <f t="shared" si="1"/>
        <v>32</v>
      </c>
      <c r="G3" s="5">
        <f t="shared" si="1"/>
        <v>64</v>
      </c>
      <c r="H3" s="5">
        <f t="shared" si="1"/>
        <v>128</v>
      </c>
      <c r="I3" s="5">
        <f t="shared" si="1"/>
        <v>256</v>
      </c>
    </row>
    <row r="4">
      <c r="K4" s="2" t="s">
        <v>1</v>
      </c>
    </row>
    <row r="5">
      <c r="A5" s="6" t="s">
        <v>57</v>
      </c>
      <c r="K5" s="4">
        <f>2^5</f>
        <v>32</v>
      </c>
    </row>
    <row r="7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</row>
    <row r="8">
      <c r="A8" s="7">
        <f t="shared" ref="A8:A11" si="2">32-H8</f>
        <v>5</v>
      </c>
      <c r="B8" s="7">
        <v>32.0</v>
      </c>
      <c r="C8" s="7" t="s">
        <v>58</v>
      </c>
      <c r="D8" s="7" t="s">
        <v>59</v>
      </c>
      <c r="E8" s="7" t="s">
        <v>60</v>
      </c>
      <c r="F8" s="7" t="s">
        <v>61</v>
      </c>
      <c r="G8" s="7" t="s">
        <v>62</v>
      </c>
      <c r="H8" s="7">
        <v>27.0</v>
      </c>
      <c r="K8" s="2" t="s">
        <v>16</v>
      </c>
    </row>
    <row r="9">
      <c r="A9" s="7">
        <f t="shared" si="2"/>
        <v>5</v>
      </c>
      <c r="B9" s="7">
        <v>32.0</v>
      </c>
      <c r="C9" s="7" t="s">
        <v>63</v>
      </c>
      <c r="D9" s="7" t="s">
        <v>64</v>
      </c>
      <c r="E9" s="7" t="s">
        <v>65</v>
      </c>
      <c r="F9" s="7" t="s">
        <v>66</v>
      </c>
      <c r="G9" s="7" t="s">
        <v>62</v>
      </c>
      <c r="H9" s="7">
        <v>27.0</v>
      </c>
      <c r="K9" s="2" t="s">
        <v>21</v>
      </c>
    </row>
    <row r="10">
      <c r="A10" s="7">
        <f t="shared" si="2"/>
        <v>5</v>
      </c>
      <c r="B10" s="7">
        <v>32.0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62</v>
      </c>
      <c r="H10" s="7">
        <v>27.0</v>
      </c>
      <c r="K10" s="2" t="s">
        <v>62</v>
      </c>
    </row>
    <row r="11">
      <c r="A11" s="7">
        <f t="shared" si="2"/>
        <v>5</v>
      </c>
      <c r="B11" s="7">
        <v>32.0</v>
      </c>
      <c r="C11" s="7"/>
      <c r="D11" s="7"/>
      <c r="E11" s="7"/>
      <c r="F11" s="7"/>
      <c r="G11" s="7" t="s">
        <v>62</v>
      </c>
      <c r="H11" s="7">
        <v>27.0</v>
      </c>
      <c r="K11" s="2" t="s">
        <v>71</v>
      </c>
    </row>
  </sheetData>
  <mergeCells count="1">
    <mergeCell ref="A5:I5"/>
  </mergeCells>
  <drawing r:id="rId1"/>
</worksheet>
</file>